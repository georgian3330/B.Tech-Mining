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ew folder\MS&amp;T\SYS 6102 Information Based\Sid assignments and lectures\WEEK 12\"/>
    </mc:Choice>
  </mc:AlternateContent>
  <bookViews>
    <workbookView xWindow="0" yWindow="0" windowWidth="15530" windowHeight="6730" activeTab="1"/>
  </bookViews>
  <sheets>
    <sheet name="Model" sheetId="4" r:id="rId1"/>
    <sheet name="Sensitivity Report 2" sheetId="8" r:id="rId2"/>
    <sheet name="Answer Report 2" sheetId="7" r:id="rId3"/>
    <sheet name="Answer Report 1" sheetId="5" r:id="rId4"/>
    <sheet name="Sensitivity Report 1" sheetId="6" r:id="rId5"/>
  </sheets>
  <definedNames>
    <definedName name="objValue">#REF!</definedName>
    <definedName name="solver_adj" localSheetId="0" hidden="1">Model!$B$14:$C$14</definedName>
    <definedName name="solver_cct" localSheetId="0" hidden="1">20</definedName>
    <definedName name="solver_cgt" localSheetId="0" hidden="1">1</definedName>
    <definedName name="solver_cir1" localSheetId="0" hidden="1">1</definedName>
    <definedName name="solver_con1" localSheetId="0" hidden="1">" "</definedName>
    <definedName name="solver_cvg" localSheetId="0" hidden="1">0.0001</definedName>
    <definedName name="solver_dia" localSheetId="0" hidden="1">1</definedName>
    <definedName name="solver_drv" localSheetId="0" hidden="1">1</definedName>
    <definedName name="solver_dua" localSheetId="0" hidden="1">0</definedName>
    <definedName name="solver_eng" localSheetId="2" hidden="1">1</definedName>
    <definedName name="solver_eng" localSheetId="0" hidden="1">2</definedName>
    <definedName name="solver_est" localSheetId="0" hidden="1">1</definedName>
    <definedName name="solver_gct" localSheetId="0" hidden="1">20</definedName>
    <definedName name="solver_gop" localSheetId="0" hidden="1">1</definedName>
    <definedName name="solver_ibd" localSheetId="0" hidden="1">0</definedName>
    <definedName name="solver_itr" localSheetId="0" hidden="1">100</definedName>
    <definedName name="solver_lhs1" localSheetId="0" hidden="1">Model!$B$19:$B$22</definedName>
    <definedName name="solver_lhs2" localSheetId="0" hidden="1">Model!$B$20</definedName>
    <definedName name="solver_lhs3" localSheetId="0" hidden="1">Model!$B$21:$B$22</definedName>
    <definedName name="solver_lin" localSheetId="0" hidden="1">1</definedName>
    <definedName name="solver_lva" localSheetId="0" hidden="1">2</definedName>
    <definedName name="solver_mip" localSheetId="0" hidden="1">5000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2" hidden="1">1</definedName>
    <definedName name="solver_neg" localSheetId="0" hidden="1">1</definedName>
    <definedName name="solver_nod" localSheetId="0" hidden="1">5000</definedName>
    <definedName name="solver_num" localSheetId="2" hidden="1">0</definedName>
    <definedName name="solver_num" localSheetId="0" hidden="1">1</definedName>
    <definedName name="solver_nwt" localSheetId="0" hidden="1">1</definedName>
    <definedName name="solver_ofx" localSheetId="0" hidden="1">0</definedName>
    <definedName name="solver_opt" localSheetId="0" hidden="1">Model!$B$16</definedName>
    <definedName name="solver_phr" localSheetId="0" hidden="1">0</definedName>
    <definedName name="solver_piv" localSheetId="0" hidden="1">0.000001</definedName>
    <definedName name="solver_pre" localSheetId="0" hidden="1">0.000001</definedName>
    <definedName name="solver_pro" localSheetId="0" hidden="1">0</definedName>
    <definedName name="solver_psi" localSheetId="0" hidden="1">0</definedName>
    <definedName name="solver_rbv" localSheetId="0" hidden="1">1</definedName>
    <definedName name="solver_red" localSheetId="0" hidden="1">0.000001</definedName>
    <definedName name="solver_rel1" localSheetId="0" hidden="1">1</definedName>
    <definedName name="solver_rel2" localSheetId="0" hidden="1">1</definedName>
    <definedName name="solver_rel3" localSheetId="0" hidden="1">2</definedName>
    <definedName name="solver_reo" localSheetId="0" hidden="1">2</definedName>
    <definedName name="solver_rep" localSheetId="0" hidden="1">0</definedName>
    <definedName name="solver_rhs1" localSheetId="0" hidden="1">Model!$C$19:$C$22</definedName>
    <definedName name="solver_rhs2" localSheetId="0" hidden="1">Model!$C$20</definedName>
    <definedName name="solver_rhs3" localSheetId="0" hidden="1">Model!$C$21:$C$22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std" localSheetId="0" hidden="1">0</definedName>
    <definedName name="solver_tim" localSheetId="0" hidden="1">100</definedName>
    <definedName name="solver_tol" localSheetId="0" hidden="1">0</definedName>
    <definedName name="solver_typ" localSheetId="2" hidden="1">1</definedName>
    <definedName name="solver_typ" localSheetId="0" hidden="1">1</definedName>
    <definedName name="solver_val" localSheetId="2" hidden="1">0</definedName>
    <definedName name="solver_val" localSheetId="0" hidden="1">0</definedName>
    <definedName name="solver_var" localSheetId="0" hidden="1">" "</definedName>
    <definedName name="solver_ver" localSheetId="2" hidden="1">3</definedName>
    <definedName name="solver_ver" localSheetId="0" hidden="1">3</definedName>
    <definedName name="solver_vir" localSheetId="0" hidden="1">1</definedName>
    <definedName name="solver_vol" localSheetId="0" hidden="1">0</definedName>
  </definedNames>
  <calcPr calcId="152511"/>
</workbook>
</file>

<file path=xl/calcChain.xml><?xml version="1.0" encoding="utf-8"?>
<calcChain xmlns="http://schemas.openxmlformats.org/spreadsheetml/2006/main">
  <c r="C19" i="4" l="1"/>
  <c r="B19" i="4"/>
  <c r="M15" i="8" l="1"/>
  <c r="K16" i="8"/>
  <c r="K15" i="8"/>
  <c r="L10" i="8"/>
  <c r="K10" i="8"/>
  <c r="F2" i="8"/>
  <c r="L8" i="8"/>
  <c r="K8" i="8"/>
  <c r="C22" i="4" l="1"/>
  <c r="B22" i="4"/>
  <c r="C21" i="4"/>
  <c r="B21" i="4"/>
  <c r="C20" i="4"/>
  <c r="B20" i="4"/>
  <c r="B16" i="4"/>
  <c r="C8" i="4"/>
  <c r="B8" i="4"/>
  <c r="C7" i="4"/>
  <c r="C6" i="4"/>
  <c r="B6" i="4"/>
  <c r="B5" i="4"/>
</calcChain>
</file>

<file path=xl/sharedStrings.xml><?xml version="1.0" encoding="utf-8"?>
<sst xmlns="http://schemas.openxmlformats.org/spreadsheetml/2006/main" count="216" uniqueCount="85">
  <si>
    <t>Model</t>
  </si>
  <si>
    <t>Par, Inc.</t>
  </si>
  <si>
    <t>Operation</t>
  </si>
  <si>
    <t>Cutting and Dyeing</t>
  </si>
  <si>
    <t>Sewing</t>
  </si>
  <si>
    <t>Finishing</t>
  </si>
  <si>
    <t>Inspection and Packaging</t>
  </si>
  <si>
    <t>Profit Per Bag</t>
  </si>
  <si>
    <t>Standard</t>
  </si>
  <si>
    <t>Deluxe</t>
  </si>
  <si>
    <t>Time Available</t>
  </si>
  <si>
    <t>Bags Produced</t>
  </si>
  <si>
    <t>Parameters</t>
  </si>
  <si>
    <t>Hours</t>
  </si>
  <si>
    <t>Production Time (Hours)</t>
  </si>
  <si>
    <t>Total Profit</t>
  </si>
  <si>
    <t>Hours Used</t>
  </si>
  <si>
    <t>Hours Available</t>
  </si>
  <si>
    <t xml:space="preserve">  </t>
  </si>
  <si>
    <t>Department</t>
  </si>
  <si>
    <t>Microsoft Excel 15.0 Answer Report</t>
  </si>
  <si>
    <t>Worksheet: [par.xlsx]Model</t>
  </si>
  <si>
    <t>Report Created: 12/3/2020 4:53:15 AM</t>
  </si>
  <si>
    <t>Result: Solver found a solution.  All Constraints and optimality conditions are satisfied.</t>
  </si>
  <si>
    <t>Solver Engine</t>
  </si>
  <si>
    <t>Engine: Simplex LP</t>
  </si>
  <si>
    <t>Solution Time: 0.016 Seconds.</t>
  </si>
  <si>
    <t>Iterations: 2 Subproblems: 0</t>
  </si>
  <si>
    <t>Solver Options</t>
  </si>
  <si>
    <t>Max Time 100 sec,  Iterations 100, Precision 0.000001</t>
  </si>
  <si>
    <t>Max Subproblems 5000, Max Integer Sols 5000, Integer Tolerance 0%,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</si>
  <si>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</si>
  <si>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</si>
  <si>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</si>
  <si>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</si>
  <si>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</si>
  <si>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</si>
  <si>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</si>
  <si>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</si>
  <si>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</si>
  <si>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</si>
  <si>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</si>
  <si>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</si>
  <si>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$B$16</t>
  </si>
  <si>
    <t xml:space="preserve">Total Profit   </t>
  </si>
  <si>
    <t>$B$14</t>
  </si>
  <si>
    <t>Bags Produced Standard</t>
  </si>
  <si>
    <t>Contin</t>
  </si>
  <si>
    <t>$C$14</t>
  </si>
  <si>
    <t>Bags Produced Deluxe</t>
  </si>
  <si>
    <t>$B$19</t>
  </si>
  <si>
    <t>Cutting and Dyeing Hours Used</t>
  </si>
  <si>
    <t>$B$19&lt;=$C$19</t>
  </si>
  <si>
    <t>Binding</t>
  </si>
  <si>
    <t>$B$20</t>
  </si>
  <si>
    <t>Sewing Hours Used</t>
  </si>
  <si>
    <t>$B$20&lt;=$C$20</t>
  </si>
  <si>
    <t>Not Binding</t>
  </si>
  <si>
    <t>$B$21</t>
  </si>
  <si>
    <t>Finishing Hours Used</t>
  </si>
  <si>
    <t>$B$21&lt;=$C$21</t>
  </si>
  <si>
    <t>$B$22</t>
  </si>
  <si>
    <t>Inspection and Packaging Hours Used</t>
  </si>
  <si>
    <t>$B$22&lt;=$C$22</t>
  </si>
  <si>
    <t>Microsoft Excel 15.0 Sensitivity Report</t>
  </si>
  <si>
    <t>Report Created: 12/3/2020 5:29:01 AM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</si>
  <si>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</si>
  <si>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</si>
  <si>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</si>
  <si>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</si>
  <si>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</si>
  <si>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</si>
  <si>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</si>
  <si>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</si>
  <si>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</si>
  <si>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</si>
  <si>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</si>
  <si>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</si>
  <si>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</si>
  <si>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Report Created: 4/21/2021 6:52:43 AM</t>
  </si>
  <si>
    <t>Solution Time: 0.078 Seconds.</t>
  </si>
  <si>
    <t xml:space="preserve">estimates </t>
  </si>
  <si>
    <t>optimal value</t>
  </si>
  <si>
    <t>Worksheet: [par (version 2).xlsb]Model</t>
  </si>
  <si>
    <t>Report Created: 4/21/2021 7:18:29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</si>
</sst>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"/>
    <numFmt numFmtId="165" formatCode="#."/>
    <numFmt numFmtId="166" formatCode="&quot;$&quot;#,##0.00"/>
  </numFmts>
  <fonts count="16" x14ac:knownFonts="1">
    <font>
      <sz val="10"/>
      <name val="Arial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color indexed="10"/>
      <name val="Times New Roman"/>
      <family val="1"/>
    </font>
    <font>
      <sz val="12"/>
      <color indexed="53"/>
      <name val="Times New Roman"/>
      <family val="1"/>
    </font>
    <font>
      <sz val="12"/>
      <color indexed="22"/>
      <name val="Times New Roman"/>
      <family val="1"/>
    </font>
    <font>
      <b/>
      <sz val="10"/>
      <name val="Arial"/>
      <family val="2"/>
    </font>
    <font>
      <b/>
      <sz val="10"/>
      <color indexed="18"/>
      <name val="Arial"/>
      <family val="2"/>
    </font>
    <font>
      <sz val="10"/>
      <name val="Arial"/>
      <family val="2"/>
    </font>
    <font>
      <b/>
      <sz val="10"/>
      <color indexed="18"/>
      <name val="Arial"/>
      <family val="2"/>
    </font>
    <font>
      <b/>
      <sz val="10"/>
      <color indexed="18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5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0">
    <xf numFmtId="0" fontId="0" fillId="0" borderId="0"/>
    <xf numFmtId="165" fontId="1" fillId="0" borderId="0">
      <protection locked="0"/>
    </xf>
    <xf numFmtId="165" fontId="1" fillId="0" borderId="0">
      <protection locked="0"/>
    </xf>
    <xf numFmtId="165" fontId="1" fillId="0" borderId="0">
      <protection locked="0"/>
    </xf>
    <xf numFmtId="165" fontId="1" fillId="0" borderId="0">
      <protection locked="0"/>
    </xf>
    <xf numFmtId="165" fontId="2" fillId="0" borderId="0">
      <protection locked="0"/>
    </xf>
    <xf numFmtId="165" fontId="2" fillId="0" borderId="0">
      <protection locked="0"/>
    </xf>
    <xf numFmtId="165" fontId="1" fillId="0" borderId="1">
      <protection locked="0"/>
    </xf>
    <xf numFmtId="0" fontId="14" fillId="5" borderId="0" applyNumberFormat="0" applyBorder="0" applyAlignment="0" applyProtection="0"/>
    <xf numFmtId="0" fontId="15" fillId="6" borderId="0" applyNumberFormat="0" applyBorder="0" applyAlignment="0" applyProtection="0"/>
  </cellStyleXfs>
  <cellXfs count="51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6" fillId="0" borderId="0" xfId="0" applyFont="1"/>
    <xf numFmtId="49" fontId="4" fillId="0" borderId="0" xfId="0" applyNumberFormat="1" applyFont="1" applyAlignment="1">
      <alignment horizontal="centerContinuous" wrapText="1"/>
    </xf>
    <xf numFmtId="0" fontId="3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164" fontId="3" fillId="2" borderId="7" xfId="0" applyNumberFormat="1" applyFont="1" applyFill="1" applyBorder="1"/>
    <xf numFmtId="164" fontId="3" fillId="2" borderId="8" xfId="0" applyNumberFormat="1" applyFont="1" applyFill="1" applyBorder="1"/>
    <xf numFmtId="164" fontId="5" fillId="0" borderId="9" xfId="0" applyNumberFormat="1" applyFont="1" applyBorder="1"/>
    <xf numFmtId="2" fontId="5" fillId="0" borderId="0" xfId="0" applyNumberFormat="1" applyFont="1"/>
    <xf numFmtId="164" fontId="3" fillId="0" borderId="0" xfId="0" applyNumberFormat="1" applyFont="1" applyFill="1" applyBorder="1"/>
    <xf numFmtId="0" fontId="5" fillId="0" borderId="0" xfId="0" applyFont="1" applyFill="1"/>
    <xf numFmtId="0" fontId="3" fillId="0" borderId="0" xfId="0" applyFont="1" applyFill="1"/>
    <xf numFmtId="166" fontId="3" fillId="0" borderId="0" xfId="0" applyNumberFormat="1" applyFont="1" applyFill="1" applyBorder="1"/>
    <xf numFmtId="0" fontId="3" fillId="0" borderId="0" xfId="0" quotePrefix="1" applyFont="1"/>
    <xf numFmtId="0" fontId="9" fillId="0" borderId="0" xfId="0" applyFont="1"/>
    <xf numFmtId="0" fontId="0" fillId="0" borderId="13" xfId="0" applyFill="1" applyBorder="1" applyAlignment="1"/>
    <xf numFmtId="0" fontId="10" fillId="0" borderId="12" xfId="0" applyFont="1" applyFill="1" applyBorder="1" applyAlignment="1">
      <alignment horizontal="center"/>
    </xf>
    <xf numFmtId="0" fontId="0" fillId="0" borderId="14" xfId="0" applyFill="1" applyBorder="1" applyAlignment="1"/>
    <xf numFmtId="166" fontId="0" fillId="0" borderId="13" xfId="0" applyNumberFormat="1" applyFill="1" applyBorder="1" applyAlignment="1"/>
    <xf numFmtId="164" fontId="0" fillId="0" borderId="14" xfId="0" applyNumberFormat="1" applyFill="1" applyBorder="1" applyAlignment="1"/>
    <xf numFmtId="164" fontId="0" fillId="0" borderId="13" xfId="0" applyNumberFormat="1" applyFill="1" applyBorder="1" applyAlignment="1"/>
    <xf numFmtId="0" fontId="0" fillId="0" borderId="14" xfId="0" applyNumberFormat="1" applyFill="1" applyBorder="1" applyAlignment="1"/>
    <xf numFmtId="0" fontId="0" fillId="0" borderId="13" xfId="0" applyNumberFormat="1" applyFill="1" applyBorder="1" applyAlignment="1"/>
    <xf numFmtId="0" fontId="10" fillId="0" borderId="10" xfId="0" applyFont="1" applyFill="1" applyBorder="1" applyAlignment="1">
      <alignment horizontal="center"/>
    </xf>
    <xf numFmtId="0" fontId="10" fillId="0" borderId="11" xfId="0" applyFont="1" applyFill="1" applyBorder="1" applyAlignment="1">
      <alignment horizontal="center"/>
    </xf>
    <xf numFmtId="0" fontId="12" fillId="0" borderId="12" xfId="0" applyFont="1" applyFill="1" applyBorder="1" applyAlignment="1">
      <alignment horizontal="center"/>
    </xf>
    <xf numFmtId="164" fontId="0" fillId="3" borderId="14" xfId="0" applyNumberFormat="1" applyFill="1" applyBorder="1" applyAlignment="1"/>
    <xf numFmtId="164" fontId="0" fillId="3" borderId="13" xfId="0" applyNumberFormat="1" applyFill="1" applyBorder="1" applyAlignment="1"/>
    <xf numFmtId="166" fontId="0" fillId="3" borderId="13" xfId="0" applyNumberFormat="1" applyFill="1" applyBorder="1" applyAlignment="1"/>
    <xf numFmtId="0" fontId="11" fillId="0" borderId="0" xfId="0" applyFont="1"/>
    <xf numFmtId="0" fontId="13" fillId="0" borderId="10" xfId="0" applyFont="1" applyFill="1" applyBorder="1" applyAlignment="1">
      <alignment horizontal="center"/>
    </xf>
    <xf numFmtId="0" fontId="13" fillId="0" borderId="11" xfId="0" applyFont="1" applyFill="1" applyBorder="1" applyAlignment="1">
      <alignment horizontal="center"/>
    </xf>
    <xf numFmtId="0" fontId="0" fillId="4" borderId="14" xfId="0" applyFill="1" applyBorder="1" applyAlignment="1"/>
    <xf numFmtId="0" fontId="0" fillId="4" borderId="13" xfId="0" applyFill="1" applyBorder="1" applyAlignment="1"/>
    <xf numFmtId="0" fontId="13" fillId="4" borderId="10" xfId="0" applyFont="1" applyFill="1" applyBorder="1" applyAlignment="1">
      <alignment horizontal="center"/>
    </xf>
    <xf numFmtId="0" fontId="13" fillId="4" borderId="11" xfId="0" applyFont="1" applyFill="1" applyBorder="1" applyAlignment="1">
      <alignment horizontal="center"/>
    </xf>
    <xf numFmtId="0" fontId="0" fillId="3" borderId="0" xfId="0" applyFill="1"/>
    <xf numFmtId="0" fontId="0" fillId="3" borderId="13" xfId="0" applyFill="1" applyBorder="1" applyAlignment="1"/>
    <xf numFmtId="0" fontId="4" fillId="0" borderId="0" xfId="0" applyFont="1" applyAlignment="1">
      <alignment horizontal="center"/>
    </xf>
    <xf numFmtId="1" fontId="14" fillId="5" borderId="0" xfId="8" applyNumberFormat="1"/>
    <xf numFmtId="2" fontId="14" fillId="5" borderId="0" xfId="8" applyNumberFormat="1"/>
    <xf numFmtId="0" fontId="15" fillId="6" borderId="0" xfId="9"/>
  </cellXfs>
  <cellStyles count="10">
    <cellStyle name="Bad" xfId="9" builtinId="27"/>
    <cellStyle name="Comma0" xfId="1"/>
    <cellStyle name="Currency0" xfId="2"/>
    <cellStyle name="Date" xfId="3"/>
    <cellStyle name="Fixed" xfId="4"/>
    <cellStyle name="Good" xfId="8" builtinId="26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2"/>
  <sheetViews>
    <sheetView workbookViewId="0">
      <selection activeCell="E20" sqref="E20"/>
    </sheetView>
  </sheetViews>
  <sheetFormatPr defaultColWidth="9.1796875" defaultRowHeight="15.5" x14ac:dyDescent="0.35"/>
  <cols>
    <col min="1" max="1" width="26.26953125" style="1" customWidth="1"/>
    <col min="2" max="2" width="19.54296875" style="1" customWidth="1"/>
    <col min="3" max="3" width="16.54296875" style="1" bestFit="1" customWidth="1"/>
    <col min="4" max="4" width="19.7265625" style="1" customWidth="1"/>
    <col min="5" max="5" width="17.81640625" style="1" bestFit="1" customWidth="1"/>
    <col min="6" max="16384" width="9.1796875" style="1"/>
  </cols>
  <sheetData>
    <row r="1" spans="1:8" x14ac:dyDescent="0.35">
      <c r="A1" s="2" t="s">
        <v>1</v>
      </c>
    </row>
    <row r="2" spans="1:8" x14ac:dyDescent="0.35">
      <c r="A2" s="3" t="s">
        <v>12</v>
      </c>
    </row>
    <row r="3" spans="1:8" x14ac:dyDescent="0.35">
      <c r="B3" s="47" t="s">
        <v>14</v>
      </c>
      <c r="C3" s="47"/>
      <c r="D3" s="3" t="s">
        <v>10</v>
      </c>
    </row>
    <row r="4" spans="1:8" ht="16" thickBot="1" x14ac:dyDescent="0.4">
      <c r="A4" s="2" t="s">
        <v>2</v>
      </c>
      <c r="B4" s="3" t="s">
        <v>8</v>
      </c>
      <c r="C4" s="3" t="s">
        <v>9</v>
      </c>
      <c r="D4" s="3" t="s">
        <v>13</v>
      </c>
    </row>
    <row r="5" spans="1:8" x14ac:dyDescent="0.35">
      <c r="A5" s="11" t="s">
        <v>3</v>
      </c>
      <c r="B5" s="4">
        <f>7/10</f>
        <v>0.7</v>
      </c>
      <c r="C5" s="5">
        <v>1</v>
      </c>
      <c r="D5" s="50">
        <v>630</v>
      </c>
    </row>
    <row r="6" spans="1:8" x14ac:dyDescent="0.35">
      <c r="A6" s="11" t="s">
        <v>4</v>
      </c>
      <c r="B6" s="6">
        <f>5/10</f>
        <v>0.5</v>
      </c>
      <c r="C6" s="16">
        <f>5/6</f>
        <v>0.83333333333333337</v>
      </c>
      <c r="D6" s="50">
        <v>600</v>
      </c>
    </row>
    <row r="7" spans="1:8" x14ac:dyDescent="0.35">
      <c r="A7" s="11" t="s">
        <v>5</v>
      </c>
      <c r="B7" s="6">
        <v>1</v>
      </c>
      <c r="C7" s="16">
        <f>2/3</f>
        <v>0.66666666666666663</v>
      </c>
      <c r="D7" s="50">
        <v>708</v>
      </c>
    </row>
    <row r="8" spans="1:8" ht="16" thickBot="1" x14ac:dyDescent="0.4">
      <c r="A8" s="11" t="s">
        <v>6</v>
      </c>
      <c r="B8" s="7">
        <f>1/10</f>
        <v>0.1</v>
      </c>
      <c r="C8" s="8">
        <f>1/4</f>
        <v>0.25</v>
      </c>
      <c r="D8" s="50">
        <v>135</v>
      </c>
    </row>
    <row r="9" spans="1:8" x14ac:dyDescent="0.35">
      <c r="A9" s="1" t="s">
        <v>7</v>
      </c>
      <c r="B9" s="48">
        <v>10</v>
      </c>
      <c r="C9" s="49">
        <v>9</v>
      </c>
      <c r="D9" s="17"/>
    </row>
    <row r="10" spans="1:8" x14ac:dyDescent="0.35">
      <c r="A10" s="2"/>
    </row>
    <row r="11" spans="1:8" x14ac:dyDescent="0.35">
      <c r="A11" s="2" t="s">
        <v>0</v>
      </c>
      <c r="B11" s="9"/>
      <c r="C11" s="9"/>
      <c r="D11" s="9"/>
      <c r="E11" s="9"/>
    </row>
    <row r="12" spans="1:8" x14ac:dyDescent="0.35">
      <c r="B12" s="3"/>
      <c r="C12" s="3"/>
      <c r="D12" s="3"/>
    </row>
    <row r="13" spans="1:8" ht="16" thickBot="1" x14ac:dyDescent="0.4">
      <c r="B13" s="3" t="s">
        <v>8</v>
      </c>
      <c r="C13" s="3" t="s">
        <v>9</v>
      </c>
      <c r="D13" s="3"/>
    </row>
    <row r="14" spans="1:8" ht="16" thickBot="1" x14ac:dyDescent="0.4">
      <c r="A14" s="1" t="s">
        <v>11</v>
      </c>
      <c r="B14" s="14">
        <v>540</v>
      </c>
      <c r="C14" s="15">
        <v>252</v>
      </c>
      <c r="D14" s="18"/>
    </row>
    <row r="15" spans="1:8" x14ac:dyDescent="0.35">
      <c r="B15" s="22" t="s">
        <v>18</v>
      </c>
      <c r="H15" s="12"/>
    </row>
    <row r="16" spans="1:8" x14ac:dyDescent="0.35">
      <c r="A16" s="2" t="s">
        <v>15</v>
      </c>
      <c r="B16" s="21">
        <f>SUMPRODUCT(B9:C9,$B$14:$C$14)</f>
        <v>7668</v>
      </c>
      <c r="G16" s="13"/>
    </row>
    <row r="18" spans="1:3" ht="21.75" customHeight="1" x14ac:dyDescent="0.35">
      <c r="A18" s="2" t="s">
        <v>19</v>
      </c>
      <c r="B18" s="10" t="s">
        <v>16</v>
      </c>
      <c r="C18" s="10" t="s">
        <v>17</v>
      </c>
    </row>
    <row r="19" spans="1:3" x14ac:dyDescent="0.35">
      <c r="A19" s="11" t="s">
        <v>3</v>
      </c>
      <c r="B19" s="19">
        <f>SUMPRODUCT($B$14:$C$14,B5:C5)</f>
        <v>630</v>
      </c>
      <c r="C19" s="20">
        <f>D5</f>
        <v>630</v>
      </c>
    </row>
    <row r="20" spans="1:3" x14ac:dyDescent="0.35">
      <c r="A20" s="11" t="s">
        <v>4</v>
      </c>
      <c r="B20" s="19">
        <f>SUMPRODUCT($B$14:$C$14,B6:C6)</f>
        <v>480</v>
      </c>
      <c r="C20" s="20">
        <f>D6</f>
        <v>600</v>
      </c>
    </row>
    <row r="21" spans="1:3" x14ac:dyDescent="0.35">
      <c r="A21" s="11" t="s">
        <v>5</v>
      </c>
      <c r="B21" s="19">
        <f>SUMPRODUCT($B$14:$C$14,B7:C7)</f>
        <v>708</v>
      </c>
      <c r="C21" s="20">
        <f>D7</f>
        <v>708</v>
      </c>
    </row>
    <row r="22" spans="1:3" x14ac:dyDescent="0.35">
      <c r="A22" s="11" t="s">
        <v>6</v>
      </c>
      <c r="B22" s="19">
        <f>SUMPRODUCT($B$14:$C$14,B8:C8)</f>
        <v>117</v>
      </c>
      <c r="C22" s="20">
        <f>D8</f>
        <v>135</v>
      </c>
    </row>
  </sheetData>
  <mergeCells count="1">
    <mergeCell ref="B3:C3"/>
  </mergeCells>
  <phoneticPr fontId="0" type="noConversion"/>
  <printOptions headings="1" gridLines="1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tabSelected="1" topLeftCell="A2" workbookViewId="0">
      <selection activeCell="I17" sqref="I17"/>
    </sheetView>
  </sheetViews>
  <sheetFormatPr defaultRowHeight="12.5" x14ac:dyDescent="0.25"/>
  <cols>
    <col min="1" max="1" width="2.1796875" customWidth="1"/>
    <col min="2" max="2" width="6.08984375" bestFit="1" customWidth="1"/>
    <col min="3" max="3" width="31.453125" bestFit="1" customWidth="1"/>
    <col min="4" max="4" width="5.54296875" customWidth="1"/>
    <col min="5" max="5" width="8.36328125" bestFit="1" customWidth="1"/>
    <col min="6" max="6" width="10.08984375" bestFit="1" customWidth="1"/>
    <col min="7" max="8" width="11.81640625" bestFit="1" customWidth="1"/>
  </cols>
  <sheetData>
    <row r="1" spans="1:13" ht="13" x14ac:dyDescent="0.3">
      <c r="A1" s="23" t="s">
        <v>64</v>
      </c>
    </row>
    <row r="2" spans="1:13" ht="13" x14ac:dyDescent="0.3">
      <c r="A2" s="23" t="s">
        <v>83</v>
      </c>
      <c r="F2">
        <f>10*D9+9*D10</f>
        <v>7668</v>
      </c>
    </row>
    <row r="3" spans="1:13" ht="13" x14ac:dyDescent="0.3">
      <c r="A3" s="23" t="s">
        <v>84</v>
      </c>
    </row>
    <row r="6" spans="1:13" ht="13" thickBot="1" x14ac:dyDescent="0.3">
      <c r="A6" t="s">
        <v>36</v>
      </c>
    </row>
    <row r="7" spans="1:13" ht="13" x14ac:dyDescent="0.3">
      <c r="B7" s="39"/>
      <c r="C7" s="39"/>
      <c r="D7" s="39" t="s">
        <v>66</v>
      </c>
      <c r="E7" s="39" t="s">
        <v>68</v>
      </c>
      <c r="F7" s="43" t="s">
        <v>70</v>
      </c>
      <c r="G7" s="39" t="s">
        <v>72</v>
      </c>
      <c r="H7" s="39" t="s">
        <v>72</v>
      </c>
    </row>
    <row r="8" spans="1:13" ht="13.5" thickBot="1" x14ac:dyDescent="0.35">
      <c r="B8" s="40" t="s">
        <v>32</v>
      </c>
      <c r="C8" s="40" t="s">
        <v>33</v>
      </c>
      <c r="D8" s="40" t="s">
        <v>67</v>
      </c>
      <c r="E8" s="40" t="s">
        <v>69</v>
      </c>
      <c r="F8" s="44" t="s">
        <v>71</v>
      </c>
      <c r="G8" s="40" t="s">
        <v>73</v>
      </c>
      <c r="H8" s="40" t="s">
        <v>74</v>
      </c>
      <c r="K8">
        <f>10+3.5</f>
        <v>13.5</v>
      </c>
      <c r="L8">
        <f>10-3.7</f>
        <v>6.3</v>
      </c>
    </row>
    <row r="9" spans="1:13" x14ac:dyDescent="0.25">
      <c r="B9" s="26" t="s">
        <v>45</v>
      </c>
      <c r="C9" s="26" t="s">
        <v>46</v>
      </c>
      <c r="D9" s="41">
        <v>540</v>
      </c>
      <c r="E9" s="26">
        <v>0</v>
      </c>
      <c r="F9" s="41">
        <v>10</v>
      </c>
      <c r="G9" s="26">
        <v>3.5000000000000031</v>
      </c>
      <c r="H9" s="26">
        <v>3.7000000000000006</v>
      </c>
      <c r="J9">
        <v>11</v>
      </c>
    </row>
    <row r="10" spans="1:13" ht="13" thickBot="1" x14ac:dyDescent="0.3">
      <c r="B10" s="24" t="s">
        <v>48</v>
      </c>
      <c r="C10" s="24" t="s">
        <v>49</v>
      </c>
      <c r="D10" s="42">
        <v>252</v>
      </c>
      <c r="E10" s="24">
        <v>0</v>
      </c>
      <c r="F10" s="42">
        <v>9</v>
      </c>
      <c r="G10" s="24">
        <v>5.2857142857142865</v>
      </c>
      <c r="H10" s="24">
        <v>2.3333333333333348</v>
      </c>
      <c r="J10">
        <v>9</v>
      </c>
      <c r="K10">
        <f>9-H10</f>
        <v>6.6666666666666652</v>
      </c>
      <c r="L10">
        <f>9+G10</f>
        <v>14.285714285714286</v>
      </c>
    </row>
    <row r="12" spans="1:13" ht="13" thickBot="1" x14ac:dyDescent="0.3">
      <c r="A12" t="s">
        <v>38</v>
      </c>
    </row>
    <row r="13" spans="1:13" ht="13" x14ac:dyDescent="0.3">
      <c r="B13" s="39"/>
      <c r="C13" s="39"/>
      <c r="D13" s="39" t="s">
        <v>66</v>
      </c>
      <c r="E13" s="39" t="s">
        <v>75</v>
      </c>
      <c r="F13" s="43" t="s">
        <v>77</v>
      </c>
      <c r="G13" s="39" t="s">
        <v>72</v>
      </c>
      <c r="H13" s="39" t="s">
        <v>72</v>
      </c>
    </row>
    <row r="14" spans="1:13" ht="13.5" thickBot="1" x14ac:dyDescent="0.35">
      <c r="B14" s="40" t="s">
        <v>32</v>
      </c>
      <c r="C14" s="40" t="s">
        <v>33</v>
      </c>
      <c r="D14" s="40" t="s">
        <v>67</v>
      </c>
      <c r="E14" s="40" t="s">
        <v>76</v>
      </c>
      <c r="F14" s="44" t="s">
        <v>78</v>
      </c>
      <c r="G14" s="40" t="s">
        <v>73</v>
      </c>
      <c r="H14" s="40" t="s">
        <v>74</v>
      </c>
    </row>
    <row r="15" spans="1:13" x14ac:dyDescent="0.25">
      <c r="B15" s="26" t="s">
        <v>50</v>
      </c>
      <c r="C15" s="41" t="s">
        <v>51</v>
      </c>
      <c r="D15" s="26">
        <v>630</v>
      </c>
      <c r="E15" s="26">
        <v>4.3750000000000018</v>
      </c>
      <c r="F15" s="26">
        <v>630</v>
      </c>
      <c r="G15" s="26">
        <v>52.363636363636402</v>
      </c>
      <c r="H15" s="26">
        <v>134.40000000000003</v>
      </c>
      <c r="K15" s="45">
        <f>630+G15</f>
        <v>682.36363636363637</v>
      </c>
      <c r="M15">
        <f>480-120</f>
        <v>360</v>
      </c>
    </row>
    <row r="16" spans="1:13" x14ac:dyDescent="0.25">
      <c r="B16" s="26" t="s">
        <v>54</v>
      </c>
      <c r="C16" s="26" t="s">
        <v>55</v>
      </c>
      <c r="D16" s="26">
        <v>480</v>
      </c>
      <c r="E16" s="26">
        <v>0</v>
      </c>
      <c r="F16" s="26">
        <v>600</v>
      </c>
      <c r="G16" s="26">
        <v>1E+30</v>
      </c>
      <c r="H16" s="26">
        <v>119.99999999999994</v>
      </c>
      <c r="K16" s="45">
        <f>D15-H15</f>
        <v>495.59999999999997</v>
      </c>
    </row>
    <row r="17" spans="2:8" x14ac:dyDescent="0.25">
      <c r="B17" s="26" t="s">
        <v>58</v>
      </c>
      <c r="C17" s="26" t="s">
        <v>59</v>
      </c>
      <c r="D17" s="26">
        <v>708</v>
      </c>
      <c r="E17" s="26">
        <v>6.9374999999999991</v>
      </c>
      <c r="F17" s="26">
        <v>708</v>
      </c>
      <c r="G17" s="26">
        <v>192.00000000000006</v>
      </c>
      <c r="H17" s="26">
        <v>128.00000000000014</v>
      </c>
    </row>
    <row r="18" spans="2:8" ht="13" thickBot="1" x14ac:dyDescent="0.3">
      <c r="B18" s="24" t="s">
        <v>61</v>
      </c>
      <c r="C18" s="24" t="s">
        <v>62</v>
      </c>
      <c r="D18" s="24">
        <v>117</v>
      </c>
      <c r="E18" s="46">
        <v>0</v>
      </c>
      <c r="F18" s="24">
        <v>135</v>
      </c>
      <c r="G18" s="46">
        <v>1E+30</v>
      </c>
      <c r="H18" s="24">
        <v>18.000000000000007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showGridLines="0" topLeftCell="A14" workbookViewId="0">
      <selection activeCell="L26" sqref="L26"/>
    </sheetView>
  </sheetViews>
  <sheetFormatPr defaultRowHeight="12.5" x14ac:dyDescent="0.25"/>
  <cols>
    <col min="1" max="1" width="2.1796875" customWidth="1"/>
    <col min="2" max="2" width="6" customWidth="1"/>
    <col min="3" max="3" width="31.453125" customWidth="1"/>
    <col min="4" max="4" width="12.90625" bestFit="1" customWidth="1"/>
    <col min="5" max="5" width="13.54296875" bestFit="1" customWidth="1"/>
    <col min="6" max="6" width="9.81640625" customWidth="1"/>
    <col min="7" max="7" width="5.453125" customWidth="1"/>
  </cols>
  <sheetData>
    <row r="1" spans="1:5" ht="13" x14ac:dyDescent="0.3">
      <c r="A1" s="23" t="s">
        <v>20</v>
      </c>
    </row>
    <row r="2" spans="1:5" ht="13" x14ac:dyDescent="0.3">
      <c r="A2" s="23" t="s">
        <v>21</v>
      </c>
    </row>
    <row r="3" spans="1:5" ht="13" x14ac:dyDescent="0.3">
      <c r="A3" s="23" t="s">
        <v>79</v>
      </c>
    </row>
    <row r="4" spans="1:5" ht="13" x14ac:dyDescent="0.3">
      <c r="A4" s="23" t="s">
        <v>23</v>
      </c>
    </row>
    <row r="5" spans="1:5" ht="13" x14ac:dyDescent="0.3">
      <c r="A5" s="23" t="s">
        <v>24</v>
      </c>
    </row>
    <row r="6" spans="1:5" ht="13" x14ac:dyDescent="0.3">
      <c r="A6" s="23"/>
      <c r="B6" t="s">
        <v>25</v>
      </c>
    </row>
    <row r="7" spans="1:5" ht="13" x14ac:dyDescent="0.3">
      <c r="A7" s="23"/>
      <c r="B7" t="s">
        <v>80</v>
      </c>
    </row>
    <row r="8" spans="1:5" ht="13" x14ac:dyDescent="0.3">
      <c r="A8" s="23"/>
      <c r="B8" t="s">
        <v>27</v>
      </c>
    </row>
    <row r="9" spans="1:5" ht="13" x14ac:dyDescent="0.3">
      <c r="A9" s="23" t="s">
        <v>28</v>
      </c>
    </row>
    <row r="10" spans="1:5" x14ac:dyDescent="0.25">
      <c r="B10" t="s">
        <v>29</v>
      </c>
    </row>
    <row r="11" spans="1:5" x14ac:dyDescent="0.25">
      <c r="B11" t="s">
        <v>30</v>
      </c>
    </row>
    <row r="14" spans="1:5" ht="13" thickBot="1" x14ac:dyDescent="0.3">
      <c r="A14" t="s">
        <v>31</v>
      </c>
    </row>
    <row r="15" spans="1:5" ht="13.5" thickBot="1" x14ac:dyDescent="0.35">
      <c r="B15" s="34" t="s">
        <v>32</v>
      </c>
      <c r="C15" s="34" t="s">
        <v>33</v>
      </c>
      <c r="D15" s="34" t="s">
        <v>34</v>
      </c>
      <c r="E15" s="34" t="s">
        <v>35</v>
      </c>
    </row>
    <row r="16" spans="1:5" ht="13" thickBot="1" x14ac:dyDescent="0.3">
      <c r="B16" s="24" t="s">
        <v>43</v>
      </c>
      <c r="C16" s="24" t="s">
        <v>44</v>
      </c>
      <c r="D16" s="27">
        <v>1450</v>
      </c>
      <c r="E16" s="37">
        <v>7668</v>
      </c>
    </row>
    <row r="17" spans="1:9" x14ac:dyDescent="0.25">
      <c r="I17" s="38" t="s">
        <v>81</v>
      </c>
    </row>
    <row r="18" spans="1:9" x14ac:dyDescent="0.25">
      <c r="I18" s="38" t="s">
        <v>82</v>
      </c>
    </row>
    <row r="19" spans="1:9" ht="13" thickBot="1" x14ac:dyDescent="0.3">
      <c r="A19" t="s">
        <v>36</v>
      </c>
    </row>
    <row r="20" spans="1:9" ht="13.5" thickBot="1" x14ac:dyDescent="0.35">
      <c r="B20" s="34" t="s">
        <v>32</v>
      </c>
      <c r="C20" s="34" t="s">
        <v>33</v>
      </c>
      <c r="D20" s="34" t="s">
        <v>34</v>
      </c>
      <c r="E20" s="34" t="s">
        <v>35</v>
      </c>
      <c r="F20" s="34" t="s">
        <v>37</v>
      </c>
    </row>
    <row r="21" spans="1:9" x14ac:dyDescent="0.25">
      <c r="B21" s="26" t="s">
        <v>45</v>
      </c>
      <c r="C21" s="26" t="s">
        <v>46</v>
      </c>
      <c r="D21" s="28">
        <v>100</v>
      </c>
      <c r="E21" s="35">
        <v>540</v>
      </c>
      <c r="F21" s="26" t="s">
        <v>47</v>
      </c>
    </row>
    <row r="22" spans="1:9" ht="13" thickBot="1" x14ac:dyDescent="0.3">
      <c r="B22" s="24" t="s">
        <v>48</v>
      </c>
      <c r="C22" s="24" t="s">
        <v>49</v>
      </c>
      <c r="D22" s="29">
        <v>50</v>
      </c>
      <c r="E22" s="36">
        <v>252</v>
      </c>
      <c r="F22" s="24" t="s">
        <v>47</v>
      </c>
    </row>
    <row r="25" spans="1:9" ht="13" thickBot="1" x14ac:dyDescent="0.3">
      <c r="A25" t="s">
        <v>38</v>
      </c>
    </row>
    <row r="26" spans="1:9" ht="13.5" thickBot="1" x14ac:dyDescent="0.35">
      <c r="B26" s="34" t="s">
        <v>32</v>
      </c>
      <c r="C26" s="34" t="s">
        <v>33</v>
      </c>
      <c r="D26" s="34" t="s">
        <v>39</v>
      </c>
      <c r="E26" s="34" t="s">
        <v>40</v>
      </c>
      <c r="F26" s="34" t="s">
        <v>41</v>
      </c>
      <c r="G26" s="34" t="s">
        <v>42</v>
      </c>
    </row>
    <row r="27" spans="1:9" x14ac:dyDescent="0.25">
      <c r="B27" s="26" t="s">
        <v>50</v>
      </c>
      <c r="C27" s="26" t="s">
        <v>51</v>
      </c>
      <c r="D27" s="30">
        <v>630</v>
      </c>
      <c r="E27" s="26" t="s">
        <v>52</v>
      </c>
      <c r="F27" s="41" t="s">
        <v>53</v>
      </c>
      <c r="G27" s="26">
        <v>0</v>
      </c>
    </row>
    <row r="28" spans="1:9" x14ac:dyDescent="0.25">
      <c r="B28" s="26" t="s">
        <v>54</v>
      </c>
      <c r="C28" s="26" t="s">
        <v>55</v>
      </c>
      <c r="D28" s="30">
        <v>480</v>
      </c>
      <c r="E28" s="26" t="s">
        <v>56</v>
      </c>
      <c r="F28" s="26" t="s">
        <v>57</v>
      </c>
      <c r="G28" s="26">
        <v>120</v>
      </c>
    </row>
    <row r="29" spans="1:9" x14ac:dyDescent="0.25">
      <c r="B29" s="26" t="s">
        <v>58</v>
      </c>
      <c r="C29" s="26" t="s">
        <v>59</v>
      </c>
      <c r="D29" s="30">
        <v>708</v>
      </c>
      <c r="E29" s="26" t="s">
        <v>60</v>
      </c>
      <c r="F29" s="26" t="s">
        <v>53</v>
      </c>
      <c r="G29" s="26">
        <v>0</v>
      </c>
    </row>
    <row r="30" spans="1:9" ht="13" thickBot="1" x14ac:dyDescent="0.3">
      <c r="B30" s="24" t="s">
        <v>61</v>
      </c>
      <c r="C30" s="24" t="s">
        <v>62</v>
      </c>
      <c r="D30" s="31">
        <v>117</v>
      </c>
      <c r="E30" s="24" t="s">
        <v>63</v>
      </c>
      <c r="F30" s="24" t="s">
        <v>57</v>
      </c>
      <c r="G30" s="24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showGridLines="0" topLeftCell="A7" workbookViewId="0">
      <selection activeCell="H27" sqref="H27"/>
    </sheetView>
  </sheetViews>
  <sheetFormatPr defaultRowHeight="12.5" x14ac:dyDescent="0.25"/>
  <cols>
    <col min="1" max="1" width="2.1796875" customWidth="1"/>
    <col min="2" max="2" width="6" customWidth="1"/>
    <col min="3" max="3" width="31.453125" customWidth="1"/>
    <col min="4" max="4" width="12.90625" bestFit="1" customWidth="1"/>
    <col min="5" max="5" width="13.54296875" bestFit="1" customWidth="1"/>
    <col min="6" max="6" width="9.81640625" customWidth="1"/>
    <col min="7" max="7" width="5.453125" customWidth="1"/>
  </cols>
  <sheetData>
    <row r="1" spans="1:5" ht="13" x14ac:dyDescent="0.3">
      <c r="A1" s="23" t="s">
        <v>20</v>
      </c>
    </row>
    <row r="2" spans="1:5" ht="13" x14ac:dyDescent="0.3">
      <c r="A2" s="23" t="s">
        <v>21</v>
      </c>
    </row>
    <row r="3" spans="1:5" ht="13" x14ac:dyDescent="0.3">
      <c r="A3" s="23" t="s">
        <v>22</v>
      </c>
    </row>
    <row r="4" spans="1:5" ht="13" x14ac:dyDescent="0.3">
      <c r="A4" s="23" t="s">
        <v>23</v>
      </c>
    </row>
    <row r="5" spans="1:5" ht="13" x14ac:dyDescent="0.3">
      <c r="A5" s="23" t="s">
        <v>24</v>
      </c>
    </row>
    <row r="6" spans="1:5" ht="13" x14ac:dyDescent="0.3">
      <c r="A6" s="23"/>
      <c r="B6" t="s">
        <v>25</v>
      </c>
    </row>
    <row r="7" spans="1:5" ht="13" x14ac:dyDescent="0.3">
      <c r="A7" s="23"/>
      <c r="B7" t="s">
        <v>26</v>
      </c>
    </row>
    <row r="8" spans="1:5" ht="13" x14ac:dyDescent="0.3">
      <c r="A8" s="23"/>
      <c r="B8" t="s">
        <v>27</v>
      </c>
    </row>
    <row r="9" spans="1:5" ht="13" x14ac:dyDescent="0.3">
      <c r="A9" s="23" t="s">
        <v>28</v>
      </c>
    </row>
    <row r="10" spans="1:5" x14ac:dyDescent="0.25">
      <c r="B10" t="s">
        <v>29</v>
      </c>
    </row>
    <row r="11" spans="1:5" x14ac:dyDescent="0.25">
      <c r="B11" t="s">
        <v>30</v>
      </c>
    </row>
    <row r="14" spans="1:5" ht="13" thickBot="1" x14ac:dyDescent="0.3">
      <c r="A14" t="s">
        <v>31</v>
      </c>
    </row>
    <row r="15" spans="1:5" ht="13.5" thickBot="1" x14ac:dyDescent="0.35">
      <c r="B15" s="25" t="s">
        <v>32</v>
      </c>
      <c r="C15" s="25" t="s">
        <v>33</v>
      </c>
      <c r="D15" s="25" t="s">
        <v>34</v>
      </c>
      <c r="E15" s="25" t="s">
        <v>35</v>
      </c>
    </row>
    <row r="16" spans="1:5" ht="13" thickBot="1" x14ac:dyDescent="0.3">
      <c r="B16" s="24" t="s">
        <v>43</v>
      </c>
      <c r="C16" s="24" t="s">
        <v>44</v>
      </c>
      <c r="D16" s="27">
        <v>7668</v>
      </c>
      <c r="E16" s="27">
        <v>7668</v>
      </c>
    </row>
    <row r="19" spans="1:7" ht="13" thickBot="1" x14ac:dyDescent="0.3">
      <c r="A19" t="s">
        <v>36</v>
      </c>
    </row>
    <row r="20" spans="1:7" ht="13.5" thickBot="1" x14ac:dyDescent="0.35">
      <c r="B20" s="25" t="s">
        <v>32</v>
      </c>
      <c r="C20" s="25" t="s">
        <v>33</v>
      </c>
      <c r="D20" s="25" t="s">
        <v>34</v>
      </c>
      <c r="E20" s="25" t="s">
        <v>35</v>
      </c>
      <c r="F20" s="25" t="s">
        <v>37</v>
      </c>
    </row>
    <row r="21" spans="1:7" x14ac:dyDescent="0.25">
      <c r="B21" s="26" t="s">
        <v>45</v>
      </c>
      <c r="C21" s="26" t="s">
        <v>46</v>
      </c>
      <c r="D21" s="28">
        <v>540</v>
      </c>
      <c r="E21" s="28">
        <v>540</v>
      </c>
      <c r="F21" s="26" t="s">
        <v>47</v>
      </c>
    </row>
    <row r="22" spans="1:7" ht="13" thickBot="1" x14ac:dyDescent="0.3">
      <c r="B22" s="24" t="s">
        <v>48</v>
      </c>
      <c r="C22" s="24" t="s">
        <v>49</v>
      </c>
      <c r="D22" s="29">
        <v>252</v>
      </c>
      <c r="E22" s="29">
        <v>252</v>
      </c>
      <c r="F22" s="24" t="s">
        <v>47</v>
      </c>
    </row>
    <row r="25" spans="1:7" ht="13" thickBot="1" x14ac:dyDescent="0.3">
      <c r="A25" t="s">
        <v>38</v>
      </c>
    </row>
    <row r="26" spans="1:7" ht="13.5" thickBot="1" x14ac:dyDescent="0.35">
      <c r="B26" s="25" t="s">
        <v>32</v>
      </c>
      <c r="C26" s="25" t="s">
        <v>33</v>
      </c>
      <c r="D26" s="25" t="s">
        <v>39</v>
      </c>
      <c r="E26" s="25" t="s">
        <v>40</v>
      </c>
      <c r="F26" s="25" t="s">
        <v>41</v>
      </c>
      <c r="G26" s="25" t="s">
        <v>42</v>
      </c>
    </row>
    <row r="27" spans="1:7" x14ac:dyDescent="0.25">
      <c r="B27" s="26" t="s">
        <v>50</v>
      </c>
      <c r="C27" s="26" t="s">
        <v>51</v>
      </c>
      <c r="D27" s="30">
        <v>630</v>
      </c>
      <c r="E27" s="26" t="s">
        <v>52</v>
      </c>
      <c r="F27" s="26" t="s">
        <v>53</v>
      </c>
      <c r="G27" s="26">
        <v>0</v>
      </c>
    </row>
    <row r="28" spans="1:7" x14ac:dyDescent="0.25">
      <c r="B28" s="26" t="s">
        <v>54</v>
      </c>
      <c r="C28" s="26" t="s">
        <v>55</v>
      </c>
      <c r="D28" s="30">
        <v>480</v>
      </c>
      <c r="E28" s="26" t="s">
        <v>56</v>
      </c>
      <c r="F28" s="26" t="s">
        <v>57</v>
      </c>
      <c r="G28" s="26">
        <v>120</v>
      </c>
    </row>
    <row r="29" spans="1:7" x14ac:dyDescent="0.25">
      <c r="B29" s="26" t="s">
        <v>58</v>
      </c>
      <c r="C29" s="26" t="s">
        <v>59</v>
      </c>
      <c r="D29" s="30">
        <v>708</v>
      </c>
      <c r="E29" s="26" t="s">
        <v>60</v>
      </c>
      <c r="F29" s="26" t="s">
        <v>53</v>
      </c>
      <c r="G29" s="26">
        <v>0</v>
      </c>
    </row>
    <row r="30" spans="1:7" ht="13" thickBot="1" x14ac:dyDescent="0.3">
      <c r="B30" s="24" t="s">
        <v>61</v>
      </c>
      <c r="C30" s="24" t="s">
        <v>62</v>
      </c>
      <c r="D30" s="31">
        <v>117</v>
      </c>
      <c r="E30" s="24" t="s">
        <v>63</v>
      </c>
      <c r="F30" s="24" t="s">
        <v>57</v>
      </c>
      <c r="G30" s="24">
        <v>18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showGridLines="0" workbookViewId="0">
      <selection activeCell="F12" sqref="F12"/>
    </sheetView>
  </sheetViews>
  <sheetFormatPr defaultRowHeight="12.5" x14ac:dyDescent="0.25"/>
  <cols>
    <col min="1" max="1" width="2.1796875" customWidth="1"/>
    <col min="2" max="2" width="6.08984375" bestFit="1" customWidth="1"/>
    <col min="3" max="3" width="31.453125" bestFit="1" customWidth="1"/>
    <col min="4" max="4" width="5.54296875" customWidth="1"/>
    <col min="5" max="5" width="8.36328125" bestFit="1" customWidth="1"/>
    <col min="6" max="6" width="10.08984375" bestFit="1" customWidth="1"/>
    <col min="7" max="8" width="11.81640625" bestFit="1" customWidth="1"/>
  </cols>
  <sheetData>
    <row r="1" spans="1:8" ht="13" x14ac:dyDescent="0.3">
      <c r="A1" s="23" t="s">
        <v>64</v>
      </c>
    </row>
    <row r="2" spans="1:8" ht="13" x14ac:dyDescent="0.3">
      <c r="A2" s="23" t="s">
        <v>21</v>
      </c>
    </row>
    <row r="3" spans="1:8" ht="13" x14ac:dyDescent="0.3">
      <c r="A3" s="23" t="s">
        <v>65</v>
      </c>
    </row>
    <row r="6" spans="1:8" ht="13" thickBot="1" x14ac:dyDescent="0.3">
      <c r="A6" t="s">
        <v>36</v>
      </c>
    </row>
    <row r="7" spans="1:8" ht="13" x14ac:dyDescent="0.3">
      <c r="B7" s="32"/>
      <c r="C7" s="32"/>
      <c r="D7" s="32" t="s">
        <v>66</v>
      </c>
      <c r="E7" s="32" t="s">
        <v>68</v>
      </c>
      <c r="F7" s="32" t="s">
        <v>70</v>
      </c>
      <c r="G7" s="32" t="s">
        <v>72</v>
      </c>
      <c r="H7" s="32" t="s">
        <v>72</v>
      </c>
    </row>
    <row r="8" spans="1:8" ht="13.5" thickBot="1" x14ac:dyDescent="0.35">
      <c r="B8" s="33" t="s">
        <v>32</v>
      </c>
      <c r="C8" s="33" t="s">
        <v>33</v>
      </c>
      <c r="D8" s="33" t="s">
        <v>67</v>
      </c>
      <c r="E8" s="33" t="s">
        <v>69</v>
      </c>
      <c r="F8" s="33" t="s">
        <v>71</v>
      </c>
      <c r="G8" s="33" t="s">
        <v>73</v>
      </c>
      <c r="H8" s="33" t="s">
        <v>74</v>
      </c>
    </row>
    <row r="9" spans="1:8" x14ac:dyDescent="0.25">
      <c r="B9" s="26" t="s">
        <v>45</v>
      </c>
      <c r="C9" s="26" t="s">
        <v>46</v>
      </c>
      <c r="D9" s="26">
        <v>540</v>
      </c>
      <c r="E9" s="26">
        <v>0</v>
      </c>
      <c r="F9" s="26">
        <v>10</v>
      </c>
      <c r="G9" s="26">
        <v>3.5000000000000031</v>
      </c>
      <c r="H9" s="26">
        <v>3.7000000000000006</v>
      </c>
    </row>
    <row r="10" spans="1:8" ht="13" thickBot="1" x14ac:dyDescent="0.3">
      <c r="B10" s="24" t="s">
        <v>48</v>
      </c>
      <c r="C10" s="24" t="s">
        <v>49</v>
      </c>
      <c r="D10" s="24">
        <v>252</v>
      </c>
      <c r="E10" s="24">
        <v>0</v>
      </c>
      <c r="F10" s="24">
        <v>9</v>
      </c>
      <c r="G10" s="24">
        <v>5.2857142857142865</v>
      </c>
      <c r="H10" s="24">
        <v>2.3333333333333348</v>
      </c>
    </row>
    <row r="12" spans="1:8" ht="13" thickBot="1" x14ac:dyDescent="0.3">
      <c r="A12" t="s">
        <v>38</v>
      </c>
    </row>
    <row r="13" spans="1:8" ht="13" x14ac:dyDescent="0.3">
      <c r="B13" s="32"/>
      <c r="C13" s="32"/>
      <c r="D13" s="32" t="s">
        <v>66</v>
      </c>
      <c r="E13" s="32" t="s">
        <v>75</v>
      </c>
      <c r="F13" s="32" t="s">
        <v>77</v>
      </c>
      <c r="G13" s="32" t="s">
        <v>72</v>
      </c>
      <c r="H13" s="32" t="s">
        <v>72</v>
      </c>
    </row>
    <row r="14" spans="1:8" ht="13.5" thickBot="1" x14ac:dyDescent="0.35">
      <c r="B14" s="33" t="s">
        <v>32</v>
      </c>
      <c r="C14" s="33" t="s">
        <v>33</v>
      </c>
      <c r="D14" s="33" t="s">
        <v>67</v>
      </c>
      <c r="E14" s="33" t="s">
        <v>76</v>
      </c>
      <c r="F14" s="33" t="s">
        <v>78</v>
      </c>
      <c r="G14" s="33" t="s">
        <v>73</v>
      </c>
      <c r="H14" s="33" t="s">
        <v>74</v>
      </c>
    </row>
    <row r="15" spans="1:8" x14ac:dyDescent="0.25">
      <c r="B15" s="26" t="s">
        <v>50</v>
      </c>
      <c r="C15" s="26" t="s">
        <v>51</v>
      </c>
      <c r="D15" s="26">
        <v>630</v>
      </c>
      <c r="E15" s="26">
        <v>4.3750000000000018</v>
      </c>
      <c r="F15" s="26">
        <v>630</v>
      </c>
      <c r="G15" s="26">
        <v>52.363636363636402</v>
      </c>
      <c r="H15" s="26">
        <v>134.40000000000003</v>
      </c>
    </row>
    <row r="16" spans="1:8" x14ac:dyDescent="0.25">
      <c r="B16" s="26" t="s">
        <v>54</v>
      </c>
      <c r="C16" s="26" t="s">
        <v>55</v>
      </c>
      <c r="D16" s="26">
        <v>480</v>
      </c>
      <c r="E16" s="26">
        <v>0</v>
      </c>
      <c r="F16" s="26">
        <v>600</v>
      </c>
      <c r="G16" s="26">
        <v>1E+30</v>
      </c>
      <c r="H16" s="26">
        <v>119.99999999999994</v>
      </c>
    </row>
    <row r="17" spans="2:8" x14ac:dyDescent="0.25">
      <c r="B17" s="26" t="s">
        <v>58</v>
      </c>
      <c r="C17" s="26" t="s">
        <v>59</v>
      </c>
      <c r="D17" s="26">
        <v>708</v>
      </c>
      <c r="E17" s="26">
        <v>6.9374999999999991</v>
      </c>
      <c r="F17" s="26">
        <v>708</v>
      </c>
      <c r="G17" s="26">
        <v>192.00000000000006</v>
      </c>
      <c r="H17" s="26">
        <v>128.00000000000014</v>
      </c>
    </row>
    <row r="18" spans="2:8" ht="13" thickBot="1" x14ac:dyDescent="0.3">
      <c r="B18" s="24" t="s">
        <v>61</v>
      </c>
      <c r="C18" s="24" t="s">
        <v>62</v>
      </c>
      <c r="D18" s="24">
        <v>117</v>
      </c>
      <c r="E18" s="24">
        <v>0</v>
      </c>
      <c r="F18" s="24">
        <v>135</v>
      </c>
      <c r="G18" s="24">
        <v>1E+30</v>
      </c>
      <c r="H18" s="24">
        <v>18.000000000000007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</vt:lpstr>
      <vt:lpstr>Sensitivity Report 2</vt:lpstr>
      <vt:lpstr>Answer Report 2</vt:lpstr>
      <vt:lpstr>Answer Report 1</vt:lpstr>
      <vt:lpstr>Sensitivity Report 1</vt:lpstr>
    </vt:vector>
  </TitlesOfParts>
  <Company>RIT College of Business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Williams, Ph.D.</dc:creator>
  <cp:lastModifiedBy>Sid</cp:lastModifiedBy>
  <dcterms:created xsi:type="dcterms:W3CDTF">1997-06-03T17:29:30Z</dcterms:created>
  <dcterms:modified xsi:type="dcterms:W3CDTF">2022-08-19T17:37:20Z</dcterms:modified>
</cp:coreProperties>
</file>