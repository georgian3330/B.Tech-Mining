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MS&amp;T\SYS 6102 Information Based\Sid assignments and lectures\WEEK 12\"/>
    </mc:Choice>
  </mc:AlternateContent>
  <bookViews>
    <workbookView xWindow="0" yWindow="0" windowWidth="28800" windowHeight="12130" activeTab="3"/>
  </bookViews>
  <sheets>
    <sheet name="Answer Report 2" sheetId="4" r:id="rId1"/>
    <sheet name="Sensitivity Report 2" sheetId="5" r:id="rId2"/>
    <sheet name="Limits Report 1" sheetId="6" r:id="rId3"/>
    <sheet name="Linear Programming" sheetId="1" r:id="rId4"/>
  </sheets>
  <definedNames>
    <definedName name="solver_adj" localSheetId="3" hidden="1">'Linear Programming'!$C$3:$D$3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'Linear Programming'!$E$7</definedName>
    <definedName name="solver_lhs2" localSheetId="3" hidden="1">'Linear Programming'!$E$8</definedName>
    <definedName name="solver_lhs3" localSheetId="3" hidden="1">'Linear Programming'!$E$9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'Linear Programming'!$E$4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hs1" localSheetId="3" hidden="1">'Linear Programming'!$F$7</definedName>
    <definedName name="solver_rhs2" localSheetId="3" hidden="1">'Linear Programming'!$F$8</definedName>
    <definedName name="solver_rhs3" localSheetId="3" hidden="1">'Linear Programming'!$F$9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3" hidden="1">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E9" i="1" l="1"/>
  <c r="E8" i="1"/>
  <c r="E4" i="1"/>
</calcChain>
</file>

<file path=xl/sharedStrings.xml><?xml version="1.0" encoding="utf-8"?>
<sst xmlns="http://schemas.openxmlformats.org/spreadsheetml/2006/main" count="128" uniqueCount="76">
  <si>
    <t>Total Profit</t>
  </si>
  <si>
    <t>Production quantity</t>
  </si>
  <si>
    <t>Unit profits</t>
  </si>
  <si>
    <t>Constraints</t>
  </si>
  <si>
    <t>Used</t>
  </si>
  <si>
    <t>Available</t>
  </si>
  <si>
    <t>Decision variables</t>
  </si>
  <si>
    <t>Objective functions</t>
  </si>
  <si>
    <t>LHS constrains</t>
  </si>
  <si>
    <t>Arkel</t>
  </si>
  <si>
    <t>Kallex</t>
  </si>
  <si>
    <t>Drums required</t>
  </si>
  <si>
    <t>Rubber hosing required</t>
  </si>
  <si>
    <t>Production Requirements per Unit</t>
  </si>
  <si>
    <t>Labor required</t>
  </si>
  <si>
    <t>Microsoft Excel 15.0 Answer Report</t>
  </si>
  <si>
    <t>Worksheet: [spreadsheet-model example.xlsx]Linear Programming</t>
  </si>
  <si>
    <t>Result: Solver found a solution.  All Constraints and optimality conditions are satisfied.</t>
  </si>
  <si>
    <t>Solver Engine</t>
  </si>
  <si>
    <t>Engine: Simplex LP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</si>
  <si>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</si>
  <si>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</si>
  <si>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</si>
  <si>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</si>
  <si>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</si>
  <si>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</si>
  <si>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</si>
  <si>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</si>
  <si>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</si>
  <si>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</si>
  <si>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</si>
  <si>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</si>
  <si>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</si>
  <si>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</si>
  <si>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</si>
  <si>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$E$4</t>
  </si>
  <si>
    <t>Unit profits Total Profit</t>
  </si>
  <si>
    <t>$C$3</t>
  </si>
  <si>
    <t>Production quantity Arkel</t>
  </si>
  <si>
    <t>Contin</t>
  </si>
  <si>
    <t>$D$3</t>
  </si>
  <si>
    <t>Production quantity Kallex</t>
  </si>
  <si>
    <t>$E$7</t>
  </si>
  <si>
    <t>Drums required Used</t>
  </si>
  <si>
    <t>$E$7&lt;=$F$7</t>
  </si>
  <si>
    <t>Binding</t>
  </si>
  <si>
    <t>$E$8</t>
  </si>
  <si>
    <t>Labor required Used</t>
  </si>
  <si>
    <t>$E$8&lt;=$F$8</t>
  </si>
  <si>
    <t>$E$9</t>
  </si>
  <si>
    <t>Rubber hosing required Used</t>
  </si>
  <si>
    <t>$E$9&lt;=$F$9</t>
  </si>
  <si>
    <t>Not Binding</t>
  </si>
  <si>
    <t>Microsoft Excel 15.0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</si>
  <si>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</si>
  <si>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</si>
  <si>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</si>
  <si>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</si>
  <si>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</si>
  <si>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</si>
  <si>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</si>
  <si>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</si>
  <si>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</si>
  <si>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</si>
  <si>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</si>
  <si>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</si>
  <si>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</si>
  <si>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Report Created: 11/17/2021 5:55:37 PM</t>
  </si>
  <si>
    <t>Solution Time: 0.015 Seconds.</t>
  </si>
  <si>
    <t>Report Created: 11/17/2021 5:55:38 PM</t>
  </si>
  <si>
    <t>Microsoft Excel 15.0 Limits Report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</si>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</sst>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0" fillId="0" borderId="16" xfId="0" applyFill="1" applyBorder="1" applyAlignment="1"/>
    <xf numFmtId="0" fontId="2" fillId="0" borderId="15" xfId="0" applyFont="1" applyFill="1" applyBorder="1" applyAlignment="1">
      <alignment horizontal="center"/>
    </xf>
    <xf numFmtId="0" fontId="0" fillId="0" borderId="17" xfId="0" applyFill="1" applyBorder="1" applyAlignment="1"/>
    <xf numFmtId="0" fontId="0" fillId="0" borderId="16" xfId="0" applyNumberFormat="1" applyFill="1" applyBorder="1" applyAlignment="1"/>
    <xf numFmtId="0" fontId="0" fillId="0" borderId="17" xfId="0" applyNumberFormat="1" applyFill="1" applyBorder="1" applyAlignment="1"/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>
      <selection activeCell="L27" sqref="L27"/>
    </sheetView>
  </sheetViews>
  <sheetFormatPr defaultRowHeight="14.5" outlineLevelRow="1" x14ac:dyDescent="0.35"/>
  <cols>
    <col min="1" max="1" width="2.1796875" customWidth="1"/>
    <col min="2" max="2" width="4.81640625" customWidth="1"/>
    <col min="3" max="3" width="25.453125" customWidth="1"/>
    <col min="4" max="4" width="12.453125" bestFit="1" customWidth="1"/>
    <col min="5" max="5" width="10.7265625" bestFit="1" customWidth="1"/>
    <col min="6" max="6" width="10.453125" customWidth="1"/>
    <col min="7" max="7" width="5" customWidth="1"/>
  </cols>
  <sheetData>
    <row r="1" spans="1:5" x14ac:dyDescent="0.35">
      <c r="A1" s="27" t="s">
        <v>15</v>
      </c>
    </row>
    <row r="2" spans="1:5" x14ac:dyDescent="0.35">
      <c r="A2" s="27" t="s">
        <v>16</v>
      </c>
    </row>
    <row r="3" spans="1:5" x14ac:dyDescent="0.35">
      <c r="A3" s="27" t="s">
        <v>67</v>
      </c>
    </row>
    <row r="4" spans="1:5" x14ac:dyDescent="0.35">
      <c r="A4" s="27" t="s">
        <v>17</v>
      </c>
    </row>
    <row r="5" spans="1:5" x14ac:dyDescent="0.35">
      <c r="A5" s="27" t="s">
        <v>18</v>
      </c>
    </row>
    <row r="6" spans="1:5" hidden="1" outlineLevel="1" x14ac:dyDescent="0.35">
      <c r="A6" s="27"/>
      <c r="B6" t="s">
        <v>19</v>
      </c>
    </row>
    <row r="7" spans="1:5" hidden="1" outlineLevel="1" x14ac:dyDescent="0.35">
      <c r="A7" s="27"/>
      <c r="B7" t="s">
        <v>68</v>
      </c>
    </row>
    <row r="8" spans="1:5" hidden="1" outlineLevel="1" x14ac:dyDescent="0.35">
      <c r="A8" s="27"/>
      <c r="B8" t="s">
        <v>20</v>
      </c>
    </row>
    <row r="9" spans="1:5" collapsed="1" x14ac:dyDescent="0.35">
      <c r="A9" s="27" t="s">
        <v>21</v>
      </c>
    </row>
    <row r="10" spans="1:5" hidden="1" outlineLevel="1" x14ac:dyDescent="0.35">
      <c r="B10" t="s">
        <v>22</v>
      </c>
    </row>
    <row r="11" spans="1:5" hidden="1" outlineLevel="1" x14ac:dyDescent="0.35">
      <c r="B11" t="s">
        <v>23</v>
      </c>
    </row>
    <row r="12" spans="1:5" collapsed="1" x14ac:dyDescent="0.35"/>
    <row r="14" spans="1:5" ht="15" thickBot="1" x14ac:dyDescent="0.4">
      <c r="A14" t="s">
        <v>24</v>
      </c>
    </row>
    <row r="15" spans="1:5" ht="15" thickBot="1" x14ac:dyDescent="0.4">
      <c r="B15" s="29" t="s">
        <v>25</v>
      </c>
      <c r="C15" s="29" t="s">
        <v>26</v>
      </c>
      <c r="D15" s="29" t="s">
        <v>27</v>
      </c>
      <c r="E15" s="29" t="s">
        <v>28</v>
      </c>
    </row>
    <row r="16" spans="1:5" ht="15" thickBot="1" x14ac:dyDescent="0.4">
      <c r="B16" s="28" t="s">
        <v>35</v>
      </c>
      <c r="C16" s="28" t="s">
        <v>36</v>
      </c>
      <c r="D16" s="31">
        <v>15200</v>
      </c>
      <c r="E16" s="31">
        <v>66100</v>
      </c>
    </row>
    <row r="19" spans="1:7" ht="15" thickBot="1" x14ac:dyDescent="0.4">
      <c r="A19" t="s">
        <v>29</v>
      </c>
    </row>
    <row r="20" spans="1:7" ht="15" thickBot="1" x14ac:dyDescent="0.4">
      <c r="B20" s="29" t="s">
        <v>25</v>
      </c>
      <c r="C20" s="29" t="s">
        <v>26</v>
      </c>
      <c r="D20" s="29" t="s">
        <v>27</v>
      </c>
      <c r="E20" s="29" t="s">
        <v>28</v>
      </c>
      <c r="F20" s="29" t="s">
        <v>30</v>
      </c>
    </row>
    <row r="21" spans="1:7" x14ac:dyDescent="0.35">
      <c r="B21" s="30" t="s">
        <v>37</v>
      </c>
      <c r="C21" s="30" t="s">
        <v>38</v>
      </c>
      <c r="D21" s="32">
        <v>10</v>
      </c>
      <c r="E21" s="32">
        <v>122.00000000000001</v>
      </c>
      <c r="F21" s="30" t="s">
        <v>39</v>
      </c>
    </row>
    <row r="22" spans="1:7" ht="15" thickBot="1" x14ac:dyDescent="0.4">
      <c r="B22" s="28" t="s">
        <v>40</v>
      </c>
      <c r="C22" s="28" t="s">
        <v>41</v>
      </c>
      <c r="D22" s="31">
        <v>39</v>
      </c>
      <c r="E22" s="31">
        <v>77.999999999999986</v>
      </c>
      <c r="F22" s="28" t="s">
        <v>39</v>
      </c>
    </row>
    <row r="25" spans="1:7" ht="15" thickBot="1" x14ac:dyDescent="0.4">
      <c r="A25" t="s">
        <v>3</v>
      </c>
    </row>
    <row r="26" spans="1:7" ht="15" thickBot="1" x14ac:dyDescent="0.4">
      <c r="B26" s="29" t="s">
        <v>25</v>
      </c>
      <c r="C26" s="29" t="s">
        <v>26</v>
      </c>
      <c r="D26" s="29" t="s">
        <v>31</v>
      </c>
      <c r="E26" s="29" t="s">
        <v>32</v>
      </c>
      <c r="F26" s="29" t="s">
        <v>33</v>
      </c>
      <c r="G26" s="29" t="s">
        <v>34</v>
      </c>
    </row>
    <row r="27" spans="1:7" x14ac:dyDescent="0.35">
      <c r="B27" s="30" t="s">
        <v>42</v>
      </c>
      <c r="C27" s="30" t="s">
        <v>43</v>
      </c>
      <c r="D27" s="32">
        <v>200</v>
      </c>
      <c r="E27" s="30" t="s">
        <v>44</v>
      </c>
      <c r="F27" s="30" t="s">
        <v>45</v>
      </c>
      <c r="G27" s="30">
        <v>0</v>
      </c>
    </row>
    <row r="28" spans="1:7" x14ac:dyDescent="0.35">
      <c r="B28" s="30" t="s">
        <v>46</v>
      </c>
      <c r="C28" s="30" t="s">
        <v>47</v>
      </c>
      <c r="D28" s="32">
        <v>3132</v>
      </c>
      <c r="E28" s="30" t="s">
        <v>48</v>
      </c>
      <c r="F28" s="30" t="s">
        <v>45</v>
      </c>
      <c r="G28" s="30">
        <v>0</v>
      </c>
    </row>
    <row r="29" spans="1:7" ht="15" thickBot="1" x14ac:dyDescent="0.4">
      <c r="B29" s="28" t="s">
        <v>49</v>
      </c>
      <c r="C29" s="28" t="s">
        <v>50</v>
      </c>
      <c r="D29" s="31">
        <v>1356</v>
      </c>
      <c r="E29" s="28" t="s">
        <v>51</v>
      </c>
      <c r="F29" s="28" t="s">
        <v>52</v>
      </c>
      <c r="G29" s="28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/>
  </sheetViews>
  <sheetFormatPr defaultRowHeight="14.5" x14ac:dyDescent="0.35"/>
  <cols>
    <col min="1" max="1" width="2.1796875" customWidth="1"/>
    <col min="2" max="2" width="5.08984375" bestFit="1" customWidth="1"/>
    <col min="3" max="3" width="25.453125" bestFit="1" customWidth="1"/>
    <col min="4" max="4" width="5.54296875" customWidth="1"/>
    <col min="5" max="5" width="11.81640625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27" t="s">
        <v>53</v>
      </c>
    </row>
    <row r="2" spans="1:8" x14ac:dyDescent="0.35">
      <c r="A2" s="27" t="s">
        <v>16</v>
      </c>
    </row>
    <row r="3" spans="1:8" x14ac:dyDescent="0.35">
      <c r="A3" s="27" t="s">
        <v>69</v>
      </c>
    </row>
    <row r="6" spans="1:8" ht="15" thickBot="1" x14ac:dyDescent="0.4">
      <c r="A6" t="s">
        <v>29</v>
      </c>
    </row>
    <row r="7" spans="1:8" x14ac:dyDescent="0.35">
      <c r="B7" s="33"/>
      <c r="C7" s="33"/>
      <c r="D7" s="33" t="s">
        <v>54</v>
      </c>
      <c r="E7" s="33" t="s">
        <v>56</v>
      </c>
      <c r="F7" s="33" t="s">
        <v>58</v>
      </c>
      <c r="G7" s="33" t="s">
        <v>60</v>
      </c>
      <c r="H7" s="33" t="s">
        <v>60</v>
      </c>
    </row>
    <row r="8" spans="1:8" ht="15" thickBot="1" x14ac:dyDescent="0.4">
      <c r="B8" s="34" t="s">
        <v>25</v>
      </c>
      <c r="C8" s="34" t="s">
        <v>26</v>
      </c>
      <c r="D8" s="34" t="s">
        <v>55</v>
      </c>
      <c r="E8" s="34" t="s">
        <v>57</v>
      </c>
      <c r="F8" s="34" t="s">
        <v>59</v>
      </c>
      <c r="G8" s="34" t="s">
        <v>61</v>
      </c>
      <c r="H8" s="34" t="s">
        <v>62</v>
      </c>
    </row>
    <row r="9" spans="1:8" x14ac:dyDescent="0.35">
      <c r="B9" s="30" t="s">
        <v>37</v>
      </c>
      <c r="C9" s="30" t="s">
        <v>38</v>
      </c>
      <c r="D9" s="30">
        <v>122.00000000000001</v>
      </c>
      <c r="E9" s="30">
        <v>0</v>
      </c>
      <c r="F9" s="30">
        <v>350</v>
      </c>
      <c r="G9" s="30">
        <v>100.00000000000004</v>
      </c>
      <c r="H9" s="30">
        <v>49.999999999999993</v>
      </c>
    </row>
    <row r="10" spans="1:8" ht="15" thickBot="1" x14ac:dyDescent="0.4">
      <c r="B10" s="28" t="s">
        <v>40</v>
      </c>
      <c r="C10" s="28" t="s">
        <v>41</v>
      </c>
      <c r="D10" s="28">
        <v>77.999999999999986</v>
      </c>
      <c r="E10" s="28">
        <v>0</v>
      </c>
      <c r="F10" s="28">
        <v>300</v>
      </c>
      <c r="G10" s="28">
        <v>49.999999999999993</v>
      </c>
      <c r="H10" s="28">
        <v>66.666666666666686</v>
      </c>
    </row>
    <row r="12" spans="1:8" ht="15" thickBot="1" x14ac:dyDescent="0.4">
      <c r="A12" t="s">
        <v>3</v>
      </c>
    </row>
    <row r="13" spans="1:8" x14ac:dyDescent="0.35">
      <c r="B13" s="33"/>
      <c r="C13" s="33"/>
      <c r="D13" s="33" t="s">
        <v>54</v>
      </c>
      <c r="E13" s="33" t="s">
        <v>63</v>
      </c>
      <c r="F13" s="33" t="s">
        <v>65</v>
      </c>
      <c r="G13" s="33" t="s">
        <v>60</v>
      </c>
      <c r="H13" s="33" t="s">
        <v>60</v>
      </c>
    </row>
    <row r="14" spans="1:8" ht="15" thickBot="1" x14ac:dyDescent="0.4">
      <c r="B14" s="34" t="s">
        <v>25</v>
      </c>
      <c r="C14" s="34" t="s">
        <v>26</v>
      </c>
      <c r="D14" s="34" t="s">
        <v>55</v>
      </c>
      <c r="E14" s="34" t="s">
        <v>64</v>
      </c>
      <c r="F14" s="34" t="s">
        <v>66</v>
      </c>
      <c r="G14" s="34" t="s">
        <v>61</v>
      </c>
      <c r="H14" s="34" t="s">
        <v>62</v>
      </c>
    </row>
    <row r="15" spans="1:8" x14ac:dyDescent="0.35">
      <c r="B15" s="30" t="s">
        <v>42</v>
      </c>
      <c r="C15" s="30" t="s">
        <v>43</v>
      </c>
      <c r="D15" s="30">
        <v>200</v>
      </c>
      <c r="E15" s="30">
        <v>200.00000000000003</v>
      </c>
      <c r="F15" s="30">
        <v>200</v>
      </c>
      <c r="G15" s="30">
        <v>7.0000000000000062</v>
      </c>
      <c r="H15" s="30">
        <v>26</v>
      </c>
    </row>
    <row r="16" spans="1:8" x14ac:dyDescent="0.35">
      <c r="B16" s="30" t="s">
        <v>46</v>
      </c>
      <c r="C16" s="30" t="s">
        <v>47</v>
      </c>
      <c r="D16" s="30">
        <v>3132</v>
      </c>
      <c r="E16" s="30">
        <v>8.3333333333333304</v>
      </c>
      <c r="F16" s="30">
        <v>3132</v>
      </c>
      <c r="G16" s="30">
        <v>468</v>
      </c>
      <c r="H16" s="30">
        <v>252.00000000000026</v>
      </c>
    </row>
    <row r="17" spans="2:8" ht="15" thickBot="1" x14ac:dyDescent="0.4">
      <c r="B17" s="28" t="s">
        <v>49</v>
      </c>
      <c r="C17" s="28" t="s">
        <v>50</v>
      </c>
      <c r="D17" s="28">
        <v>1356</v>
      </c>
      <c r="E17" s="28">
        <v>0</v>
      </c>
      <c r="F17" s="28">
        <v>1440</v>
      </c>
      <c r="G17" s="28">
        <v>1E+30</v>
      </c>
      <c r="H17" s="28">
        <v>84.000000000000057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/>
  </sheetViews>
  <sheetFormatPr defaultRowHeight="14.5" x14ac:dyDescent="0.35"/>
  <cols>
    <col min="1" max="1" width="2.1796875" customWidth="1"/>
    <col min="2" max="2" width="5.08984375" bestFit="1" customWidth="1"/>
    <col min="3" max="3" width="22.81640625" bestFit="1" customWidth="1"/>
    <col min="4" max="4" width="5.81640625" bestFit="1" customWidth="1"/>
    <col min="5" max="5" width="2.1796875" customWidth="1"/>
    <col min="6" max="6" width="5.90625" customWidth="1"/>
    <col min="8" max="8" width="2.1796875" customWidth="1"/>
    <col min="9" max="9" width="6" customWidth="1"/>
  </cols>
  <sheetData>
    <row r="1" spans="1:10" x14ac:dyDescent="0.35">
      <c r="A1" s="27" t="s">
        <v>70</v>
      </c>
    </row>
    <row r="2" spans="1:10" x14ac:dyDescent="0.35">
      <c r="A2" s="27" t="s">
        <v>16</v>
      </c>
    </row>
    <row r="3" spans="1:10" x14ac:dyDescent="0.35">
      <c r="A3" s="27" t="s">
        <v>69</v>
      </c>
    </row>
    <row r="5" spans="1:10" ht="15" thickBot="1" x14ac:dyDescent="0.4"/>
    <row r="6" spans="1:10" x14ac:dyDescent="0.35">
      <c r="B6" s="33"/>
      <c r="C6" s="33" t="s">
        <v>58</v>
      </c>
      <c r="D6" s="33"/>
    </row>
    <row r="7" spans="1:10" ht="15" thickBot="1" x14ac:dyDescent="0.4">
      <c r="B7" s="34" t="s">
        <v>25</v>
      </c>
      <c r="C7" s="34" t="s">
        <v>26</v>
      </c>
      <c r="D7" s="34" t="s">
        <v>55</v>
      </c>
    </row>
    <row r="8" spans="1:10" ht="15" thickBot="1" x14ac:dyDescent="0.4">
      <c r="B8" s="28" t="s">
        <v>35</v>
      </c>
      <c r="C8" s="28" t="s">
        <v>36</v>
      </c>
      <c r="D8" s="31">
        <v>66100</v>
      </c>
    </row>
    <row r="10" spans="1:10" ht="15" thickBot="1" x14ac:dyDescent="0.4"/>
    <row r="11" spans="1:10" x14ac:dyDescent="0.35">
      <c r="B11" s="33"/>
      <c r="C11" s="33" t="s">
        <v>71</v>
      </c>
      <c r="D11" s="33"/>
      <c r="F11" s="33" t="s">
        <v>72</v>
      </c>
      <c r="G11" s="33" t="s">
        <v>58</v>
      </c>
      <c r="I11" s="33" t="s">
        <v>75</v>
      </c>
      <c r="J11" s="33" t="s">
        <v>58</v>
      </c>
    </row>
    <row r="12" spans="1:10" ht="15" thickBot="1" x14ac:dyDescent="0.4">
      <c r="B12" s="34" t="s">
        <v>25</v>
      </c>
      <c r="C12" s="34" t="s">
        <v>26</v>
      </c>
      <c r="D12" s="34" t="s">
        <v>55</v>
      </c>
      <c r="F12" s="34" t="s">
        <v>73</v>
      </c>
      <c r="G12" s="34" t="s">
        <v>74</v>
      </c>
      <c r="I12" s="34" t="s">
        <v>73</v>
      </c>
      <c r="J12" s="34" t="s">
        <v>74</v>
      </c>
    </row>
    <row r="13" spans="1:10" x14ac:dyDescent="0.35">
      <c r="B13" s="30" t="s">
        <v>37</v>
      </c>
      <c r="C13" s="30" t="s">
        <v>38</v>
      </c>
      <c r="D13" s="32">
        <v>122.00000000000001</v>
      </c>
      <c r="F13" s="32">
        <v>0</v>
      </c>
      <c r="G13" s="32">
        <v>23399.999999999996</v>
      </c>
      <c r="I13" s="32">
        <v>122</v>
      </c>
      <c r="J13" s="32">
        <v>66100</v>
      </c>
    </row>
    <row r="14" spans="1:10" ht="15" thickBot="1" x14ac:dyDescent="0.4">
      <c r="B14" s="28" t="s">
        <v>40</v>
      </c>
      <c r="C14" s="28" t="s">
        <v>41</v>
      </c>
      <c r="D14" s="31">
        <v>77.999999999999986</v>
      </c>
      <c r="F14" s="31">
        <v>0</v>
      </c>
      <c r="G14" s="31">
        <v>42700.000000000007</v>
      </c>
      <c r="I14" s="31">
        <v>77.999999999999957</v>
      </c>
      <c r="J14" s="31">
        <v>66100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tabSelected="1" workbookViewId="0">
      <selection activeCell="C3" sqref="C3"/>
    </sheetView>
  </sheetViews>
  <sheetFormatPr defaultRowHeight="14.5" x14ac:dyDescent="0.35"/>
  <cols>
    <col min="2" max="2" width="22" customWidth="1"/>
    <col min="3" max="3" width="17.08984375" customWidth="1"/>
    <col min="4" max="4" width="19.54296875" customWidth="1"/>
    <col min="5" max="5" width="19.08984375" customWidth="1"/>
    <col min="6" max="6" width="20.36328125" customWidth="1"/>
  </cols>
  <sheetData>
    <row r="1" spans="2:6" ht="15" thickBot="1" x14ac:dyDescent="0.4"/>
    <row r="2" spans="2:6" ht="15" thickBot="1" x14ac:dyDescent="0.4">
      <c r="B2" s="1"/>
      <c r="C2" s="2" t="s">
        <v>9</v>
      </c>
      <c r="D2" s="3" t="s">
        <v>10</v>
      </c>
      <c r="E2" s="4" t="s">
        <v>0</v>
      </c>
    </row>
    <row r="3" spans="2:6" x14ac:dyDescent="0.35">
      <c r="B3" s="5" t="s">
        <v>1</v>
      </c>
      <c r="C3" s="23">
        <v>122.00000000000001</v>
      </c>
      <c r="D3" s="24">
        <v>77.999999999999986</v>
      </c>
      <c r="E3" s="6"/>
    </row>
    <row r="4" spans="2:6" ht="15" thickBot="1" x14ac:dyDescent="0.4">
      <c r="B4" s="7" t="s">
        <v>2</v>
      </c>
      <c r="C4" s="8">
        <v>350</v>
      </c>
      <c r="D4" s="9">
        <v>300</v>
      </c>
      <c r="E4" s="10">
        <f>(C4*C3)+(D4*D3)</f>
        <v>66100</v>
      </c>
      <c r="F4" s="11"/>
    </row>
    <row r="5" spans="2:6" ht="15" thickBot="1" x14ac:dyDescent="0.4">
      <c r="C5" s="11"/>
      <c r="D5" s="11"/>
      <c r="E5" s="11"/>
      <c r="F5" s="11"/>
    </row>
    <row r="6" spans="2:6" ht="15" thickBot="1" x14ac:dyDescent="0.4">
      <c r="B6" s="3" t="s">
        <v>3</v>
      </c>
      <c r="C6" s="25" t="s">
        <v>13</v>
      </c>
      <c r="D6" s="26"/>
      <c r="E6" s="3" t="s">
        <v>4</v>
      </c>
      <c r="F6" s="4" t="s">
        <v>5</v>
      </c>
    </row>
    <row r="7" spans="2:6" x14ac:dyDescent="0.35">
      <c r="B7" s="12" t="s">
        <v>11</v>
      </c>
      <c r="C7" s="13">
        <v>1</v>
      </c>
      <c r="D7" s="13">
        <v>1</v>
      </c>
      <c r="E7" s="14">
        <f>(C7*C3)+(D7*D3)</f>
        <v>200</v>
      </c>
      <c r="F7" s="15">
        <v>200</v>
      </c>
    </row>
    <row r="8" spans="2:6" x14ac:dyDescent="0.35">
      <c r="B8" s="5" t="s">
        <v>14</v>
      </c>
      <c r="C8" s="16">
        <v>18</v>
      </c>
      <c r="D8" s="16">
        <v>12</v>
      </c>
      <c r="E8" s="14">
        <f>(C8*C3)+(D8*D3)</f>
        <v>3132</v>
      </c>
      <c r="F8" s="15">
        <v>3132</v>
      </c>
    </row>
    <row r="9" spans="2:6" ht="15" thickBot="1" x14ac:dyDescent="0.4">
      <c r="B9" s="7" t="s">
        <v>12</v>
      </c>
      <c r="C9" s="17">
        <v>6</v>
      </c>
      <c r="D9" s="17">
        <v>8</v>
      </c>
      <c r="E9" s="18">
        <f>(C9*C3)+(D9*D3)</f>
        <v>1356</v>
      </c>
      <c r="F9" s="19">
        <v>1440</v>
      </c>
    </row>
    <row r="10" spans="2:6" x14ac:dyDescent="0.35">
      <c r="C10" s="11"/>
      <c r="D10" s="11"/>
      <c r="E10" s="11"/>
      <c r="F10" s="11"/>
    </row>
    <row r="12" spans="2:6" x14ac:dyDescent="0.35">
      <c r="B12" s="20" t="s">
        <v>6</v>
      </c>
    </row>
    <row r="13" spans="2:6" x14ac:dyDescent="0.35">
      <c r="B13" s="21" t="s">
        <v>7</v>
      </c>
    </row>
    <row r="14" spans="2:6" x14ac:dyDescent="0.35">
      <c r="B14" s="22" t="s">
        <v>8</v>
      </c>
    </row>
  </sheetData>
  <mergeCells count="1">
    <mergeCell ref="C6:D6"/>
  </mergeCells>
  <pageMargins left="0.7" right="0.7" top="0.75" bottom="0.75" header="0.3" footer="0.3"/>
  <pageSetup paperSize="9" orientation="portrait" verticalDpi="0" r:id="rId1"/>
  <headerFooter>
    <oddHeader>&amp;C&amp;"Calibri"&amp;8 SMU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2</vt:lpstr>
      <vt:lpstr>Sensitivity Report 2</vt:lpstr>
      <vt:lpstr>Limits Report 1</vt:lpstr>
      <vt:lpstr>Linear Programming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Windows User</dc:creator>
  <cp:lastModifiedBy>Sid</cp:lastModifiedBy>
  <dcterms:created xsi:type="dcterms:W3CDTF">2017-11-29T05:27:41Z</dcterms:created>
  <dcterms:modified xsi:type="dcterms:W3CDTF">2021-11-17T12:26:32Z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1d41b-6b8e-4636-984f-012bff14ba18_Enabled">
    <vt:lpwstr>True</vt:lpwstr>
  </property>
  <property fmtid="{D5CDD505-2E9C-101B-9397-08002B2CF9AE}" pid="3" name="MSIP_Label_6951d41b-6b8e-4636-984f-012bff14ba18_SiteId">
    <vt:lpwstr>c98a79ca-5a9a-4791-a243-f06afd67464d</vt:lpwstr>
  </property>
  <property fmtid="{D5CDD505-2E9C-101B-9397-08002B2CF9AE}" pid="4" name="MSIP_Label_6951d41b-6b8e-4636-984f-012bff14ba18_Ref">
    <vt:lpwstr>https://api.informationprotection.azure.com/api/c98a79ca-5a9a-4791-a243-f06afd67464d</vt:lpwstr>
  </property>
  <property fmtid="{D5CDD505-2E9C-101B-9397-08002B2CF9AE}" pid="5" name="MSIP_Label_6951d41b-6b8e-4636-984f-012bff14ba18_Owner">
    <vt:lpwstr>clarencegoh@smu.edu.sg</vt:lpwstr>
  </property>
  <property fmtid="{D5CDD505-2E9C-101B-9397-08002B2CF9AE}" pid="6" name="MSIP_Label_6951d41b-6b8e-4636-984f-012bff14ba18_SetDate">
    <vt:lpwstr>2017-11-30T09:42:30.8441564+08:00</vt:lpwstr>
  </property>
  <property fmtid="{D5CDD505-2E9C-101B-9397-08002B2CF9AE}" pid="7" name="MSIP_Label_6951d41b-6b8e-4636-984f-012bff14ba18_Name">
    <vt:lpwstr>Restricted</vt:lpwstr>
  </property>
  <property fmtid="{D5CDD505-2E9C-101B-9397-08002B2CF9AE}" pid="8" name="MSIP_Label_6951d41b-6b8e-4636-984f-012bff14ba18_Application">
    <vt:lpwstr>Microsoft Azure Information Protection</vt:lpwstr>
  </property>
  <property fmtid="{D5CDD505-2E9C-101B-9397-08002B2CF9AE}" pid="9" name="MSIP_Label_6951d41b-6b8e-4636-984f-012bff14ba18_Extended_MSFT_Method">
    <vt:lpwstr>Automatic</vt:lpwstr>
  </property>
  <property fmtid="{D5CDD505-2E9C-101B-9397-08002B2CF9AE}" pid="10" name="Sensitivity">
    <vt:lpwstr>Restricted</vt:lpwstr>
  </property>
</Properties>
</file>